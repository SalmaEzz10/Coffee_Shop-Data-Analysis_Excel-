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lf_study\Data Analysis\proj1_Excel\"/>
    </mc:Choice>
  </mc:AlternateContent>
  <xr:revisionPtr revIDLastSave="0" documentId="13_ncr:1_{CF0366D0-0122-45CB-BA39-626B99AB41C5}" xr6:coauthVersionLast="47" xr6:coauthVersionMax="47" xr10:uidLastSave="{00000000-0000-0000-0000-000000000000}"/>
  <bookViews>
    <workbookView xWindow="-108" yWindow="-108" windowWidth="23256" windowHeight="12456" activeTab="1" xr2:uid="{DDDCCD6F-8B99-4157-80D7-F77DDFBB255C}"/>
  </bookViews>
  <sheets>
    <sheet name="Analysis" sheetId="1" r:id="rId1"/>
    <sheet name="Dashboard" sheetId="4" r:id="rId2"/>
  </sheets>
  <calcPr calcId="191029"/>
  <pivotCaches>
    <pivotCache cacheId="29" r:id="rId3"/>
    <pivotCache cacheId="18" r:id="rId4"/>
    <pivotCache cacheId="19" r:id="rId5"/>
    <pivotCache cacheId="20" r:id="rId6"/>
    <pivotCache cacheId="21" r:id="rId7"/>
    <pivotCache cacheId="22" r:id="rId8"/>
    <pivotCache cacheId="23" r:id="rId9"/>
    <pivotCache cacheId="24" r:id="rId10"/>
    <pivotCache cacheId="25" r:id="rId11"/>
    <pivotCache cacheId="26" r:id="rId12"/>
    <pivotCache cacheId="27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 Coffe_4ae1e0e6-032e-47e7-ac0c-7eb32bbf8025" name="Orders Coffe" connection="Query - Orders Coffe"/>
        </x15:modelTables>
        <x15:extLst>
          <ext xmlns:x16="http://schemas.microsoft.com/office/spreadsheetml/2014/11/main" uri="{9835A34E-60A6-4A7C-AAB8-D5F71C897F49}">
            <x16:modelTimeGroupings>
              <x16:modelTimeGrouping tableName="Orders Coff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F3C530-B65D-4ED6-9CCD-B66BC9ECE1CE}" name="Query - Orders Coffe" description="Connection to the 'Orders Coffe' query in the workbook." type="100" refreshedVersion="8" minRefreshableVersion="5">
    <extLst>
      <ext xmlns:x15="http://schemas.microsoft.com/office/spreadsheetml/2010/11/main" uri="{DE250136-89BD-433C-8126-D09CA5730AF9}">
        <x15:connection id="dc107831-dce7-4c9d-ac6d-bf61ab070554"/>
      </ext>
    </extLst>
  </connection>
  <connection id="2" xr16:uid="{BCD8C917-2F80-4219-9D98-55657146857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<sst xmlns="http://schemas.openxmlformats.org/spreadsheetml/2006/main" count="76" uniqueCount="45">
  <si>
    <t>money</t>
  </si>
  <si>
    <t>Card</t>
  </si>
  <si>
    <t>Latte</t>
  </si>
  <si>
    <t>Hot Chocolate</t>
  </si>
  <si>
    <t>Americano</t>
  </si>
  <si>
    <t>Americano With Milk</t>
  </si>
  <si>
    <t>Cocoa</t>
  </si>
  <si>
    <t>Cash</t>
  </si>
  <si>
    <t>Cortado</t>
  </si>
  <si>
    <t>Espresso</t>
  </si>
  <si>
    <t>Cappuccino</t>
  </si>
  <si>
    <t>1. Total Orders</t>
  </si>
  <si>
    <t>Orders Coffe</t>
  </si>
  <si>
    <t>2. Total Sales</t>
  </si>
  <si>
    <t>sales</t>
  </si>
  <si>
    <t>3. Items</t>
  </si>
  <si>
    <t>items</t>
  </si>
  <si>
    <t>4. Most Popular Coffee</t>
  </si>
  <si>
    <t>Row Labels</t>
  </si>
  <si>
    <t>Grand Total</t>
  </si>
  <si>
    <t>5. Orders by Month</t>
  </si>
  <si>
    <t>Mar</t>
  </si>
  <si>
    <t>Apr</t>
  </si>
  <si>
    <t>May</t>
  </si>
  <si>
    <t>Jun</t>
  </si>
  <si>
    <t>Jul</t>
  </si>
  <si>
    <t>Aug</t>
  </si>
  <si>
    <t>6. Orders by Day</t>
  </si>
  <si>
    <t>Friday</t>
  </si>
  <si>
    <t>Monday</t>
  </si>
  <si>
    <t>Saturday</t>
  </si>
  <si>
    <t>Sunday</t>
  </si>
  <si>
    <t>Thursday</t>
  </si>
  <si>
    <t>Tuesday</t>
  </si>
  <si>
    <t>Wednesday</t>
  </si>
  <si>
    <t>7. Orders by Shift</t>
  </si>
  <si>
    <t>Afternoon</t>
  </si>
  <si>
    <t>Evening</t>
  </si>
  <si>
    <t>Morning</t>
  </si>
  <si>
    <t>8. Orders by Payment Method</t>
  </si>
  <si>
    <t>9. Money for Coffee Type</t>
  </si>
  <si>
    <t>Money</t>
  </si>
  <si>
    <t>10. Money by Month</t>
  </si>
  <si>
    <t xml:space="preserve"> 11 . Avg money</t>
  </si>
  <si>
    <t>Average of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</si>
</sst>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\$#,##0.00;\(\$#,##0.00\);\$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1EC"/>
        <bgColor indexed="64"/>
      </patternFill>
    </fill>
    <fill>
      <patternFill patternType="solid">
        <fgColor rgb="FF1F3B4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3" fillId="2" borderId="0" xfId="1" applyNumberFormat="1" applyFont="1" applyFill="1" applyAlignment="1">
      <alignment horizontal="left" indent="1"/>
    </xf>
  </cellXfs>
  <cellStyles count="2">
    <cellStyle name="Comma" xfId="1" builtinId="3"/>
    <cellStyle name="Normal" xfId="0" builtinId="0"/>
  </cellStyles>
  <dxfs count="27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0.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0.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colors>
    <mruColors>
      <color rgb="FF1F3B4D"/>
      <color rgb="FFF3F1EC"/>
      <color rgb="FFE1DFD6"/>
      <color rgb="FFFFFFFF"/>
      <color rgb="FFF7EAD5"/>
      <color rgb="FFE3EAC8"/>
      <color rgb="FFF8EAC8"/>
      <color rgb="FFFBEC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3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 Coffe Shop.xlsx]Analysis!PivotTable5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lvl="1" algn="l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Orders by Month</a:t>
            </a:r>
          </a:p>
        </c:rich>
      </c:tx>
      <c:layout>
        <c:manualLayout>
          <c:xMode val="edge"/>
          <c:yMode val="edge"/>
          <c:x val="7.6430446194225732E-2"/>
          <c:y val="2.7777777777777776E-2"/>
        </c:manualLayout>
      </c:layout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 lvl="1" algn="l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</c:pivotFmt>
      <c:pivotFmt>
        <c:idx val="4"/>
        <c:spPr>
          <a:ln w="3492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</c:pivotFmt>
      <c:pivotFmt>
        <c:idx val="5"/>
        <c:spPr>
          <a:ln w="3492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</c:pivotFmt>
      <c:pivotFmt>
        <c:idx val="6"/>
        <c:spPr>
          <a:ln w="3492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</c:pivotFmt>
      <c:pivotFmt>
        <c:idx val="7"/>
        <c:spPr>
          <a:ln w="3492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Analysis!$H$2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Analysis!$G$3:$G$9</c:f>
              <c:strCache>
                <c:ptCount val="6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</c:strCache>
            </c:strRef>
          </c:cat>
          <c:val>
            <c:numRef>
              <c:f>Analysis!$H$3:$H$9</c:f>
              <c:numCache>
                <c:formatCode>General</c:formatCode>
                <c:ptCount val="6"/>
                <c:pt idx="0">
                  <c:v>206</c:v>
                </c:pt>
                <c:pt idx="1">
                  <c:v>196</c:v>
                </c:pt>
                <c:pt idx="2">
                  <c:v>267</c:v>
                </c:pt>
                <c:pt idx="3">
                  <c:v>227</c:v>
                </c:pt>
                <c:pt idx="4">
                  <c:v>237</c:v>
                </c:pt>
                <c:pt idx="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B26-AC7C-9CD6E253CC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9355416"/>
        <c:axId val="609359016"/>
      </c:lineChart>
      <c:catAx>
        <c:axId val="609355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59016"/>
        <c:crosses val="autoZero"/>
        <c:auto val="1"/>
        <c:lblAlgn val="ctr"/>
        <c:lblOffset val="100"/>
        <c:noMultiLvlLbl val="0"/>
      </c:catAx>
      <c:valAx>
        <c:axId val="60935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55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 Coffe Shop.xlsx]Analysis!PivotTable10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Money by</a:t>
            </a:r>
            <a:r>
              <a:rPr lang="en-US" sz="16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Month</a:t>
            </a:r>
            <a:endParaRPr lang="en-US" sz="1600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0.11801001155076245"/>
          <c:y val="3.3823102510632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Analysis!$H$17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Analysis!$G$18:$G$24</c:f>
              <c:strCache>
                <c:ptCount val="6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</c:strCache>
            </c:strRef>
          </c:cat>
          <c:val>
            <c:numRef>
              <c:f>Analysis!$H$18:$H$24</c:f>
              <c:numCache>
                <c:formatCode>\$#,##0.00;\(\$#,##0.00\);\$#,##0.00</c:formatCode>
                <c:ptCount val="6"/>
                <c:pt idx="0">
                  <c:v>7050.2000000000007</c:v>
                </c:pt>
                <c:pt idx="1">
                  <c:v>6720.560000000004</c:v>
                </c:pt>
                <c:pt idx="2">
                  <c:v>9063.4199999999983</c:v>
                </c:pt>
                <c:pt idx="3">
                  <c:v>7758.7599999999993</c:v>
                </c:pt>
                <c:pt idx="4">
                  <c:v>6915.94</c:v>
                </c:pt>
                <c:pt idx="5">
                  <c:v>5118.6999999999989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6-4C95-AAC1-9EA8BC546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352536"/>
        <c:axId val="609356856"/>
      </c:lineChart>
      <c:catAx>
        <c:axId val="60935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56856"/>
        <c:crosses val="autoZero"/>
        <c:auto val="1"/>
        <c:lblAlgn val="ctr"/>
        <c:lblOffset val="100"/>
        <c:noMultiLvlLbl val="0"/>
      </c:catAx>
      <c:valAx>
        <c:axId val="60935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52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 Coffe Shop.xlsx]Analysis!PivotTable4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Top Coffee Types ( Orders )</a:t>
            </a:r>
          </a:p>
        </c:rich>
      </c:tx>
      <c:layout>
        <c:manualLayout>
          <c:xMode val="edge"/>
          <c:yMode val="edge"/>
          <c:x val="6.9710162154749053E-2"/>
          <c:y val="5.7048952043692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4D-4A91-B880-6A00E06327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Analysis!$D$3:$D$11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Analysis!$E$3:$E$11</c:f>
              <c:numCache>
                <c:formatCode>General</c:formatCode>
                <c:ptCount val="8"/>
                <c:pt idx="0">
                  <c:v>185</c:v>
                </c:pt>
                <c:pt idx="1">
                  <c:v>319</c:v>
                </c:pt>
                <c:pt idx="2">
                  <c:v>222</c:v>
                </c:pt>
                <c:pt idx="3">
                  <c:v>44</c:v>
                </c:pt>
                <c:pt idx="4">
                  <c:v>123</c:v>
                </c:pt>
                <c:pt idx="5">
                  <c:v>59</c:v>
                </c:pt>
                <c:pt idx="6">
                  <c:v>79</c:v>
                </c:pt>
                <c:pt idx="7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D-4A91-B880-6A00E06327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3010864"/>
        <c:axId val="653015184"/>
      </c:barChart>
      <c:catAx>
        <c:axId val="65301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15184"/>
        <c:crosses val="autoZero"/>
        <c:auto val="1"/>
        <c:lblAlgn val="ctr"/>
        <c:lblOffset val="100"/>
        <c:noMultiLvlLbl val="0"/>
      </c:catAx>
      <c:valAx>
        <c:axId val="65301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1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 Coffe Shop.xlsx]Analysis!PivotTable9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Top Coffee Types ( Money )</a:t>
            </a:r>
          </a:p>
        </c:rich>
      </c:tx>
      <c:layout>
        <c:manualLayout>
          <c:xMode val="edge"/>
          <c:yMode val="edge"/>
          <c:x val="5.5157264501149245E-2"/>
          <c:y val="5.6823859458637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07-4F3F-A581-84CF0EBD58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Analysis!$D$18:$D$26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Analysis!$E$18:$E$26</c:f>
              <c:numCache>
                <c:formatCode>\$#,##0.00;\(\$#,##0.00\);\$#,##0.00</c:formatCode>
                <c:ptCount val="8"/>
                <c:pt idx="0">
                  <c:v>5012.8600000000006</c:v>
                </c:pt>
                <c:pt idx="1">
                  <c:v>10025.859999999973</c:v>
                </c:pt>
                <c:pt idx="2">
                  <c:v>8186.46</c:v>
                </c:pt>
                <c:pt idx="3">
                  <c:v>1591.32</c:v>
                </c:pt>
                <c:pt idx="4">
                  <c:v>3297.5600000000004</c:v>
                </c:pt>
                <c:pt idx="5">
                  <c:v>1281.8199999999986</c:v>
                </c:pt>
                <c:pt idx="6">
                  <c:v>2942.58</c:v>
                </c:pt>
                <c:pt idx="7">
                  <c:v>10289.120000000001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7-4F3F-A581-84CF0EBD58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3016984"/>
        <c:axId val="653017704"/>
      </c:barChart>
      <c:catAx>
        <c:axId val="653016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17704"/>
        <c:crosses val="autoZero"/>
        <c:auto val="1"/>
        <c:lblAlgn val="ctr"/>
        <c:lblOffset val="100"/>
        <c:noMultiLvlLbl val="0"/>
      </c:catAx>
      <c:valAx>
        <c:axId val="65301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1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[Orders Coffe Shop.xlsx]Analysis!PivotTable6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Orders by Day</a:t>
            </a:r>
          </a:p>
        </c:rich>
      </c:tx>
      <c:layout>
        <c:manualLayout>
          <c:xMode val="edge"/>
          <c:yMode val="edge"/>
          <c:x val="0.10376530716531257"/>
          <c:y val="4.0356535693290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38-4F23-9339-2F90E4BF15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Analysis!$J$3:$J$10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Analysis!$K$3:$K$10</c:f>
              <c:numCache>
                <c:formatCode>General</c:formatCode>
                <c:ptCount val="7"/>
                <c:pt idx="0">
                  <c:v>181</c:v>
                </c:pt>
                <c:pt idx="1">
                  <c:v>177</c:v>
                </c:pt>
                <c:pt idx="2">
                  <c:v>189</c:v>
                </c:pt>
                <c:pt idx="3">
                  <c:v>172</c:v>
                </c:pt>
                <c:pt idx="4">
                  <c:v>200</c:v>
                </c:pt>
                <c:pt idx="5">
                  <c:v>206</c:v>
                </c:pt>
                <c:pt idx="6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8-4F23-9339-2F90E4BF15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987464"/>
        <c:axId val="652989264"/>
      </c:barChart>
      <c:catAx>
        <c:axId val="65298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89264"/>
        <c:crosses val="autoZero"/>
        <c:auto val="1"/>
        <c:lblAlgn val="ctr"/>
        <c:lblOffset val="100"/>
        <c:noMultiLvlLbl val="0"/>
      </c:catAx>
      <c:valAx>
        <c:axId val="65298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87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 Coffe Shop.xlsx]Analysis!PivotTable7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Order by Shift</a:t>
            </a:r>
          </a:p>
        </c:rich>
      </c:tx>
      <c:layout>
        <c:manualLayout>
          <c:xMode val="edge"/>
          <c:yMode val="edge"/>
          <c:x val="4.8720759011355433E-2"/>
          <c:y val="3.2407407407407406E-2"/>
        </c:manualLayout>
      </c:layout>
      <c:overlay val="0"/>
      <c:spPr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Analysis!$N$2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0B-47F3-A157-4062B286F6A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0B-47F3-A157-4062B286F6A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0B-47F3-A157-4062B286F6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Analysis!$M$3:$M$6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Analysis!$N$3:$N$6</c:f>
              <c:numCache>
                <c:formatCode>General</c:formatCode>
                <c:ptCount val="3"/>
                <c:pt idx="0">
                  <c:v>420</c:v>
                </c:pt>
                <c:pt idx="1">
                  <c:v>383</c:v>
                </c:pt>
                <c:pt idx="2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0B-47F3-A157-4062B286F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 Coffe Shop.xlsx]Analysis!PivotTable8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Payment</a:t>
            </a:r>
            <a:r>
              <a:rPr lang="en-US" sz="16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Method</a:t>
            </a:r>
            <a:endParaRPr lang="en-US" sz="16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14456322328526006"/>
          <c:y val="3.63709522101439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Analysis!$Q$2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A8-4994-977E-BF3878F0F6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A8-4994-977E-BF3878F0F6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Analysis!$P$3:$P$5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Analysis!$Q$3:$Q$5</c:f>
              <c:numCache>
                <c:formatCode>0.0%</c:formatCode>
                <c:ptCount val="2"/>
                <c:pt idx="0">
                  <c:v>0.9322162985529322</c:v>
                </c:pt>
                <c:pt idx="1">
                  <c:v>6.7783701447067787E-2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A8-4994-977E-BF3878F0F6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582125</xdr:colOff>
      <xdr:row>5</xdr:row>
      <xdr:rowOff>156929</xdr:rowOff>
    </xdr:from>
    <xdr:to>
      <xdr:col>10</xdr:col>
      <xdr:colOff>582125</xdr:colOff>
      <xdr:row>11</xdr:row>
      <xdr:rowOff>37064</xdr:rowOff>
    </xdr:to>
    <xdr:sp macro="" textlink="Analysis!$A$7">
      <xdr:nvSpPr>
        <xdr:cNvPr id="3" name="Rectangle 2">
          <a:extLst>
            <a:ext uri="{FF2B5EF4-FFF2-40B4-BE49-F238E27FC236}">
              <a16:creationId xmlns:a16="http://schemas.microsoft.com/office/drawing/2014/main" id="{98B6E000-C0FB-BCC3-04D3-56B085B9F39E}"/>
            </a:ext>
          </a:extLst>
        </xdr:cNvPr>
        <xdr:cNvSpPr/>
      </xdr:nvSpPr>
      <xdr:spPr>
        <a:xfrm>
          <a:off x="3827681" y="1050633"/>
          <a:ext cx="2596444" cy="952579"/>
        </a:xfrm>
        <a:prstGeom prst="rect">
          <a:avLst/>
        </a:prstGeom>
        <a:solidFill>
          <a:schemeClr val="bg1"/>
        </a:solidFill>
        <a:ln>
          <a:solidFill>
            <a:srgbClr val="E1DFD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74320" tIns="91440" rtlCol="0" anchor="ctr" anchorCtr="0"/>
        <a:lstStyle/>
        <a:p>
          <a:pPr algn="l"/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Total</a:t>
          </a:r>
          <a:r>
            <a:rPr lang="en-US" sz="2400" b="0" i="0" u="none" strike="noStrike" baseline="0">
              <a:solidFill>
                <a:schemeClr val="tx1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Sales</a:t>
          </a:r>
          <a:endParaRPr lang="ar-EG" sz="1100" b="0" i="0" u="none" strike="noStrike">
            <a:solidFill>
              <a:schemeClr val="tx1">
                <a:lumMod val="65000"/>
                <a:lumOff val="3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24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t>$</a:t>
          </a:r>
          <a:fld id="{6B392C20-0FF3-4607-9C22-B3087F5C75A1}" type="TxLink">
            <a:rPr lang="en-US" sz="24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42627.58</a:t>
          </a:fld>
          <a:endParaRPr 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138663</xdr:colOff>
      <xdr:row>5</xdr:row>
      <xdr:rowOff>156929</xdr:rowOff>
    </xdr:from>
    <xdr:to>
      <xdr:col>15</xdr:col>
      <xdr:colOff>443463</xdr:colOff>
      <xdr:row>11</xdr:row>
      <xdr:rowOff>37063</xdr:rowOff>
    </xdr:to>
    <xdr:sp macro="" textlink="Analysis!$A$15">
      <xdr:nvSpPr>
        <xdr:cNvPr id="4" name="Rectangle 3">
          <a:extLst>
            <a:ext uri="{FF2B5EF4-FFF2-40B4-BE49-F238E27FC236}">
              <a16:creationId xmlns:a16="http://schemas.microsoft.com/office/drawing/2014/main" id="{A2B168CD-F1A8-4BF3-BF34-891EAEE89D92}"/>
            </a:ext>
          </a:extLst>
        </xdr:cNvPr>
        <xdr:cNvSpPr/>
      </xdr:nvSpPr>
      <xdr:spPr>
        <a:xfrm>
          <a:off x="7203626" y="1050633"/>
          <a:ext cx="2590800" cy="952578"/>
        </a:xfrm>
        <a:prstGeom prst="rect">
          <a:avLst/>
        </a:prstGeom>
        <a:solidFill>
          <a:srgbClr val="FFFFFF"/>
        </a:solidFill>
        <a:ln w="12700" cmpd="sng">
          <a:solidFill>
            <a:srgbClr val="E1DFD6"/>
          </a:solidFill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74320" rtlCol="0" anchor="ctr" anchorCtr="0"/>
        <a:lstStyle/>
        <a:p>
          <a:pPr algn="l"/>
          <a:r>
            <a:rPr lang="en-US" sz="1100" b="0" i="0" u="none" strike="noStrike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Avg</a:t>
          </a:r>
          <a:r>
            <a:rPr lang="en-US" sz="2400" b="0" i="0" u="none" strike="noStrike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Order</a:t>
          </a:r>
          <a:r>
            <a:rPr lang="en-US" sz="2400" b="0" i="0" u="none" strike="noStrike" baseline="0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Value</a:t>
          </a:r>
          <a:endParaRPr lang="en-US" sz="1100" b="0" i="0" u="none" strike="noStrike">
            <a:ln>
              <a:noFill/>
            </a:ln>
            <a:solidFill>
              <a:schemeClr val="tx1">
                <a:lumMod val="65000"/>
                <a:lumOff val="35000"/>
              </a:schemeClr>
            </a:solidFill>
            <a:latin typeface="Calibri"/>
            <a:ea typeface="Calibri"/>
            <a:cs typeface="Calibri"/>
          </a:endParaRPr>
        </a:p>
        <a:p>
          <a:pPr algn="l"/>
          <a:fld id="{49F87265-2990-4C93-8E01-D5144A6EBEB6}" type="TxLink">
            <a:rPr lang="en-US" sz="2400" b="0" i="0" u="none" strike="noStrike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t>$32.47</a:t>
          </a:fld>
          <a:endParaRPr lang="en-US" sz="24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193973</xdr:colOff>
      <xdr:row>5</xdr:row>
      <xdr:rowOff>160163</xdr:rowOff>
    </xdr:from>
    <xdr:to>
      <xdr:col>5</xdr:col>
      <xdr:colOff>414106</xdr:colOff>
      <xdr:row>11</xdr:row>
      <xdr:rowOff>33829</xdr:rowOff>
    </xdr:to>
    <xdr:sp macro="" textlink="Analysis!$A$3">
      <xdr:nvSpPr>
        <xdr:cNvPr id="5" name="Rectangle 4">
          <a:extLst>
            <a:ext uri="{FF2B5EF4-FFF2-40B4-BE49-F238E27FC236}">
              <a16:creationId xmlns:a16="http://schemas.microsoft.com/office/drawing/2014/main" id="{684154E8-CA55-4A3B-A490-4E019D6DB961}"/>
            </a:ext>
          </a:extLst>
        </xdr:cNvPr>
        <xdr:cNvSpPr/>
      </xdr:nvSpPr>
      <xdr:spPr>
        <a:xfrm>
          <a:off x="447973" y="1067306"/>
          <a:ext cx="2594255" cy="962237"/>
        </a:xfrm>
        <a:prstGeom prst="rect">
          <a:avLst/>
        </a:prstGeom>
        <a:solidFill>
          <a:schemeClr val="bg1"/>
        </a:solidFill>
        <a:ln>
          <a:solidFill>
            <a:srgbClr val="E1DFD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74320" rtlCol="0" anchor="ctr" anchorCtr="0"/>
        <a:lstStyle/>
        <a:p>
          <a:pPr lvl="0" algn="l"/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Total</a:t>
          </a:r>
          <a:r>
            <a:rPr lang="en-US" sz="24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Orders</a:t>
          </a:r>
        </a:p>
        <a:p>
          <a:pPr lvl="0" algn="l"/>
          <a:fld id="{38BAB36D-2BFC-4343-81C3-0410A09D7EC1}" type="TxLink">
            <a:rPr lang="en-US" sz="24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lvl="0" algn="l"/>
            <a:t>1313</a:t>
          </a:fld>
          <a:endParaRPr 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193973</xdr:colOff>
      <xdr:row>5</xdr:row>
      <xdr:rowOff>168000</xdr:rowOff>
    </xdr:from>
    <xdr:to>
      <xdr:col>5</xdr:col>
      <xdr:colOff>414106</xdr:colOff>
      <xdr:row>5</xdr:row>
      <xdr:rowOff>168000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A0BB20E-CDD1-8EBB-0DB5-B2559B7242F2}"/>
            </a:ext>
          </a:extLst>
        </xdr:cNvPr>
        <xdr:cNvCxnSpPr/>
      </xdr:nvCxnSpPr>
      <xdr:spPr>
        <a:xfrm>
          <a:off x="445674" y="1081710"/>
          <a:ext cx="2592332" cy="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582125</xdr:colOff>
      <xdr:row>5</xdr:row>
      <xdr:rowOff>167434</xdr:rowOff>
    </xdr:from>
    <xdr:to>
      <xdr:col>10</xdr:col>
      <xdr:colOff>582125</xdr:colOff>
      <xdr:row>5</xdr:row>
      <xdr:rowOff>167434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3559E26-8C54-85FE-CF50-EBD25A0FCE37}"/>
            </a:ext>
          </a:extLst>
        </xdr:cNvPr>
        <xdr:cNvCxnSpPr/>
      </xdr:nvCxnSpPr>
      <xdr:spPr>
        <a:xfrm>
          <a:off x="3816315" y="1081144"/>
          <a:ext cx="2592869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138663</xdr:colOff>
      <xdr:row>5</xdr:row>
      <xdr:rowOff>160163</xdr:rowOff>
    </xdr:from>
    <xdr:to>
      <xdr:col>15</xdr:col>
      <xdr:colOff>443463</xdr:colOff>
      <xdr:row>5</xdr:row>
      <xdr:rowOff>163397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F055CCD-9DE4-0356-B41C-FE85978F2023}"/>
            </a:ext>
          </a:extLst>
        </xdr:cNvPr>
        <xdr:cNvCxnSpPr/>
      </xdr:nvCxnSpPr>
      <xdr:spPr>
        <a:xfrm>
          <a:off x="7186301" y="1073873"/>
          <a:ext cx="2590800" cy="3234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</xdr:row>
      <xdr:rowOff>153076</xdr:rowOff>
    </xdr:from>
    <xdr:to>
      <xdr:col>20</xdr:col>
      <xdr:colOff>272374</xdr:colOff>
      <xdr:row>11</xdr:row>
      <xdr:rowOff>40917</xdr:rowOff>
    </xdr:to>
    <xdr:sp macro="" textlink="Analysis!$A$11">
      <xdr:nvSpPr>
        <xdr:cNvPr id="27" name="Rectangle 26">
          <a:extLst>
            <a:ext uri="{FF2B5EF4-FFF2-40B4-BE49-F238E27FC236}">
              <a16:creationId xmlns:a16="http://schemas.microsoft.com/office/drawing/2014/main" id="{0B75EDB0-4754-4754-8500-FAF01B8BBFEB}"/>
            </a:ext>
          </a:extLst>
        </xdr:cNvPr>
        <xdr:cNvSpPr/>
      </xdr:nvSpPr>
      <xdr:spPr>
        <a:xfrm>
          <a:off x="10519038" y="1069768"/>
          <a:ext cx="2592750" cy="987871"/>
        </a:xfrm>
        <a:prstGeom prst="rect">
          <a:avLst/>
        </a:prstGeom>
        <a:solidFill>
          <a:srgbClr val="FFFFFF"/>
        </a:solidFill>
        <a:ln w="12700" cmpd="sng">
          <a:solidFill>
            <a:srgbClr val="E1DFD6"/>
          </a:solidFill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74320" rtlCol="0" anchor="ctr" anchorCtr="0"/>
        <a:lstStyle/>
        <a:p>
          <a:pPr algn="l"/>
          <a:r>
            <a:rPr lang="en-US" sz="1100" b="0" i="0" u="none" strike="noStrike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Coffee</a:t>
          </a:r>
          <a:r>
            <a:rPr lang="en-US" sz="2400" b="0" i="0" u="none" strike="noStrike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Item</a:t>
          </a:r>
          <a:r>
            <a:rPr lang="en-US" sz="2400" b="0" i="0" u="none" strike="noStrike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Sold</a:t>
          </a:r>
        </a:p>
        <a:p>
          <a:pPr algn="l"/>
          <a:fld id="{4653B235-851D-4F8A-BDD0-02E020950B22}" type="TxLink">
            <a:rPr lang="en-US" sz="2400" b="0" i="0" u="none" strike="noStrike">
              <a:ln>
                <a:noFill/>
              </a:ln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8</a:t>
          </a:fld>
          <a:endParaRPr lang="en-US" sz="24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0</xdr:colOff>
      <xdr:row>5</xdr:row>
      <xdr:rowOff>164766</xdr:rowOff>
    </xdr:from>
    <xdr:to>
      <xdr:col>20</xdr:col>
      <xdr:colOff>266872</xdr:colOff>
      <xdr:row>5</xdr:row>
      <xdr:rowOff>168000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2024AB2-6E5B-4FBD-8DC1-3C9467262666}"/>
            </a:ext>
          </a:extLst>
        </xdr:cNvPr>
        <xdr:cNvCxnSpPr/>
      </xdr:nvCxnSpPr>
      <xdr:spPr>
        <a:xfrm>
          <a:off x="10554217" y="1078476"/>
          <a:ext cx="2590800" cy="32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194037</xdr:colOff>
      <xdr:row>12</xdr:row>
      <xdr:rowOff>64273</xdr:rowOff>
    </xdr:from>
    <xdr:to>
      <xdr:col>10</xdr:col>
      <xdr:colOff>597256</xdr:colOff>
      <xdr:row>26</xdr:row>
      <xdr:rowOff>141155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96771-5911-489C-A565-345D7DA8D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142353</xdr:colOff>
      <xdr:row>12</xdr:row>
      <xdr:rowOff>74398</xdr:rowOff>
    </xdr:from>
    <xdr:to>
      <xdr:col>20</xdr:col>
      <xdr:colOff>290763</xdr:colOff>
      <xdr:row>26</xdr:row>
      <xdr:rowOff>131029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9D3189-4139-4ED3-A90B-A2C31D10B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201085</xdr:colOff>
      <xdr:row>27</xdr:row>
      <xdr:rowOff>148165</xdr:rowOff>
    </xdr:from>
    <xdr:to>
      <xdr:col>10</xdr:col>
      <xdr:colOff>571500</xdr:colOff>
      <xdr:row>42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60660C-EE6A-4A83-A932-DD414A226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148168</xdr:colOff>
      <xdr:row>27</xdr:row>
      <xdr:rowOff>142874</xdr:rowOff>
    </xdr:from>
    <xdr:to>
      <xdr:col>20</xdr:col>
      <xdr:colOff>275166</xdr:colOff>
      <xdr:row>42</xdr:row>
      <xdr:rowOff>37041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8AB0A6-1264-4529-BC84-7F113E251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211666</xdr:colOff>
      <xdr:row>43</xdr:row>
      <xdr:rowOff>74083</xdr:rowOff>
    </xdr:from>
    <xdr:to>
      <xdr:col>8</xdr:col>
      <xdr:colOff>423333</xdr:colOff>
      <xdr:row>58</xdr:row>
      <xdr:rowOff>118533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0A7105-5ACB-41D9-9F1A-6E3D8F298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566209</xdr:colOff>
      <xdr:row>43</xdr:row>
      <xdr:rowOff>74083</xdr:rowOff>
    </xdr:from>
    <xdr:to>
      <xdr:col>14</xdr:col>
      <xdr:colOff>523874</xdr:colOff>
      <xdr:row>58</xdr:row>
      <xdr:rowOff>118533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1A4483A-8CE2-4097-8FAF-13786AAE5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52916</xdr:colOff>
      <xdr:row>43</xdr:row>
      <xdr:rowOff>74083</xdr:rowOff>
    </xdr:from>
    <xdr:to>
      <xdr:col>20</xdr:col>
      <xdr:colOff>275166</xdr:colOff>
      <xdr:row>58</xdr:row>
      <xdr:rowOff>118533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FEAC451-0BEA-4892-B67B-B8D5CB3D9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1</xdr:row>
      <xdr:rowOff>23092</xdr:rowOff>
    </xdr:from>
    <xdr:to>
      <xdr:col>9</xdr:col>
      <xdr:colOff>0</xdr:colOff>
      <xdr:row>3</xdr:row>
      <xdr:rowOff>23091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0237AFE-3AD1-CAFE-18D4-DF9B8FEB041F}"/>
            </a:ext>
          </a:extLst>
        </xdr:cNvPr>
        <xdr:cNvSpPr txBox="1"/>
      </xdr:nvSpPr>
      <xdr:spPr>
        <a:xfrm>
          <a:off x="517407" y="201833"/>
          <a:ext cx="4713112" cy="357480"/>
        </a:xfrm>
        <a:prstGeom prst="rect">
          <a:avLst/>
        </a:prstGeom>
        <a:solidFill>
          <a:srgbClr val="1F3B4D"/>
        </a:solidFill>
        <a:ln w="9525" cmpd="sng">
          <a:solidFill>
            <a:srgbClr val="1F3B4D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400" b="1">
              <a:solidFill>
                <a:schemeClr val="bg1"/>
              </a:solidFill>
            </a:rPr>
            <a:t>Coffee Shop Sales Dashboard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1.110040162035" backgroundQuery="1" createdVersion="8" refreshedVersion="8" minRefreshableVersion="3" recordCount="0" supportSubquery="1" supportAdvancedDrill="1" xr:uid="{4C0B38C2-7471-457D-AFA4-485A3AEAB1D6}">
  <cacheSource type="external" connectionId="2"/>
  <cacheFields count="1">
    <cacheField name="[Measures].[Average of money]" caption="Average of money" numFmtId="0" hierarchy="15" level="32767"/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0" memberValueDatatype="130" unbalanced="0"/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0" memberValueDatatype="130" unbalanced="0"/>
    <cacheHierarchy uniqueName="[Orders Coffe].[Day Name]" caption="Day Name" attribute="1" defaultMemberUniqueName="[Orders Coffe].[Day Name].[All]" allUniqueName="[Orders Coffe].[Day Name].[All]" dimensionUniqueName="[Orders Coffe]" displayFolder="" count="0" memberValueDatatype="130" unbalanced="0"/>
    <cacheHierarchy uniqueName="[Orders Coffe].[Shift]" caption="Shift" attribute="1" defaultMemberUniqueName="[Orders Coffe].[Shift].[All]" allUniqueName="[Orders Coffe].[Shift].[All]" dimensionUniqueName="[Orders Coffe]" displayFolder="" count="0" memberValueDatatype="130" unbalanced="0"/>
    <cacheHierarchy uniqueName="[Orders Coffe].[date (Month)]" caption="date (Month)" attribute="1" defaultMemberUniqueName="[Orders Coffe].[date (Month)].[All]" allUniqueName="[Orders Coffe].[date (Month)].[All]" dimensionUniqueName="[Orders Coffe]" displayFolder="" count="0" memberValueDatatype="130" unbalanced="0"/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/>
    <cacheHierarchy uniqueName="[Measures].[items]" caption="items" measure="1" displayFolder="" measureGroup="Orders Coffe" count="0"/>
    <cacheHierarchy uniqueName="[Measures].[sales]" caption="sales" measure="1" displayFolder="" measureGroup="Orders Coffe" count="0"/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0.946657060187" backgroundQuery="1" createdVersion="8" refreshedVersion="8" minRefreshableVersion="3" recordCount="0" supportSubquery="1" supportAdvancedDrill="1" xr:uid="{04D251BF-0AB4-4A95-B008-78D8EAD3D9F6}">
  <cacheSource type="external" connectionId="2"/>
  <cacheFields count="2">
    <cacheField name="[Measures].[Orders Coffe]" caption="Orders Coffe" numFmtId="0" hierarchy="9" level="32767"/>
    <cacheField name="[Orders Coffe].[date (Month)].[date (Month)]" caption="date (Month)" numFmtId="0" hierarchy="7" level="1">
      <sharedItems count="6">
        <s v="Mar"/>
        <s v="Apr"/>
        <s v="May"/>
        <s v="Jun"/>
        <s v="Jul"/>
        <s v="Aug"/>
      </sharedItems>
    </cacheField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0" memberValueDatatype="130" unbalanced="0"/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0" memberValueDatatype="130" unbalanced="0"/>
    <cacheHierarchy uniqueName="[Orders Coffe].[Day Name]" caption="Day Name" attribute="1" defaultMemberUniqueName="[Orders Coffe].[Day Name].[All]" allUniqueName="[Orders Coffe].[Day Name].[All]" dimensionUniqueName="[Orders Coffe]" displayFolder="" count="0" memberValueDatatype="130" unbalanced="0"/>
    <cacheHierarchy uniqueName="[Orders Coffe].[Shift]" caption="Shift" attribute="1" defaultMemberUniqueName="[Orders Coffe].[Shift].[All]" allUniqueName="[Orders Coffe].[Shift].[All]" dimensionUniqueName="[Orders Coffe]" displayFolder="" count="0" memberValueDatatype="130" unbalanced="0"/>
    <cacheHierarchy uniqueName="[Orders Coffe].[date (Month)]" caption="date (Month)" attribute="1" defaultMemberUniqueName="[Orders Coffe].[date (Month)].[All]" allUniqueName="[Orders Coffe].[date (Month)].[All]" dimensionUniqueName="[Orders Coffe]" displayFolder="" count="2" memberValueDatatype="130" unbalanced="0">
      <fieldsUsage count="2">
        <fieldUsage x="-1"/>
        <fieldUsage x="1"/>
      </fieldsUsage>
    </cacheHierarchy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 oneField="1">
      <fieldsUsage count="1">
        <fieldUsage x="0"/>
      </fieldsUsage>
    </cacheHierarchy>
    <cacheHierarchy uniqueName="[Measures].[items]" caption="items" measure="1" displayFolder="" measureGroup="Orders Coffe" count="0"/>
    <cacheHierarchy uniqueName="[Measures].[sales]" caption="sales" measure="1" displayFolder="" measureGroup="Orders Coffe" count="0"/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0.964336574078" backgroundQuery="1" createdVersion="8" refreshedVersion="8" minRefreshableVersion="3" recordCount="0" supportSubquery="1" supportAdvancedDrill="1" xr:uid="{D6902C5E-470F-4973-97CE-16F0BA09F939}">
  <cacheSource type="external" connectionId="2"/>
  <cacheFields count="2">
    <cacheField name="[Orders Coffe].[date (Month)].[date (Month)]" caption="date (Month)" numFmtId="0" hierarchy="7" level="1">
      <sharedItems count="6">
        <s v="Mar"/>
        <s v="Apr"/>
        <s v="May"/>
        <s v="Jun"/>
        <s v="Jul"/>
        <s v="Aug"/>
      </sharedItems>
    </cacheField>
    <cacheField name="[Measures].[Sum of money]" caption="Sum of money" numFmtId="0" hierarchy="14" level="32767"/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0" memberValueDatatype="130" unbalanced="0"/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0" memberValueDatatype="130" unbalanced="0"/>
    <cacheHierarchy uniqueName="[Orders Coffe].[Day Name]" caption="Day Name" attribute="1" defaultMemberUniqueName="[Orders Coffe].[Day Name].[All]" allUniqueName="[Orders Coffe].[Day Name].[All]" dimensionUniqueName="[Orders Coffe]" displayFolder="" count="0" memberValueDatatype="130" unbalanced="0"/>
    <cacheHierarchy uniqueName="[Orders Coffe].[Shift]" caption="Shift" attribute="1" defaultMemberUniqueName="[Orders Coffe].[Shift].[All]" allUniqueName="[Orders Coffe].[Shift].[All]" dimensionUniqueName="[Orders Coffe]" displayFolder="" count="0" memberValueDatatype="130" unbalanced="0"/>
    <cacheHierarchy uniqueName="[Orders Coffe].[date (Month)]" caption="date (Month)" attribute="1" defaultMemberUniqueName="[Orders Coffe].[date (Month)].[All]" allUniqueName="[Orders Coffe].[date (Month)].[All]" dimensionUniqueName="[Orders Coffe]" displayFolder="" count="2" memberValueDatatype="130" unbalanced="0">
      <fieldsUsage count="2">
        <fieldUsage x="-1"/>
        <fieldUsage x="0"/>
      </fieldsUsage>
    </cacheHierarchy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/>
    <cacheHierarchy uniqueName="[Measures].[items]" caption="items" measure="1" displayFolder="" measureGroup="Orders Coffe" count="0"/>
    <cacheHierarchy uniqueName="[Measures].[sales]" caption="sales" measure="1" displayFolder="" measureGroup="Orders Coffe" count="0"/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0.959880555558" backgroundQuery="1" createdVersion="8" refreshedVersion="8" minRefreshableVersion="3" recordCount="0" supportSubquery="1" supportAdvancedDrill="1" xr:uid="{54976C21-AF08-431F-A6D4-8872F42D1D5C}">
  <cacheSource type="external" connectionId="2"/>
  <cacheFields count="2">
    <cacheField name="[Orders Coffe].[coffee_name].[coffee_name]" caption="coffee_name" numFmtId="0" hierarchy="4" level="1">
      <sharedItems count="8">
        <s v="Americano"/>
        <s v="Americano With Milk"/>
        <s v="Cappuccino"/>
        <s v="Cocoa"/>
        <s v="Cortado"/>
        <s v="Espresso"/>
        <s v="Hot Chocolate"/>
        <s v="Latte"/>
      </sharedItems>
    </cacheField>
    <cacheField name="[Measures].[Sum of money]" caption="Sum of money" numFmtId="0" hierarchy="14" level="32767"/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0" memberValueDatatype="130" unbalanced="0"/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2" memberValueDatatype="130" unbalanced="0">
      <fieldsUsage count="2">
        <fieldUsage x="-1"/>
        <fieldUsage x="0"/>
      </fieldsUsage>
    </cacheHierarchy>
    <cacheHierarchy uniqueName="[Orders Coffe].[Day Name]" caption="Day Name" attribute="1" defaultMemberUniqueName="[Orders Coffe].[Day Name].[All]" allUniqueName="[Orders Coffe].[Day Name].[All]" dimensionUniqueName="[Orders Coffe]" displayFolder="" count="0" memberValueDatatype="130" unbalanced="0"/>
    <cacheHierarchy uniqueName="[Orders Coffe].[Shift]" caption="Shift" attribute="1" defaultMemberUniqueName="[Orders Coffe].[Shift].[All]" allUniqueName="[Orders Coffe].[Shift].[All]" dimensionUniqueName="[Orders Coffe]" displayFolder="" count="0" memberValueDatatype="130" unbalanced="0"/>
    <cacheHierarchy uniqueName="[Orders Coffe].[date (Month)]" caption="date (Month)" attribute="1" defaultMemberUniqueName="[Orders Coffe].[date (Month)].[All]" allUniqueName="[Orders Coffe].[date (Month)].[All]" dimensionUniqueName="[Orders Coffe]" displayFolder="" count="0" memberValueDatatype="130" unbalanced="0"/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/>
    <cacheHierarchy uniqueName="[Measures].[items]" caption="items" measure="1" displayFolder="" measureGroup="Orders Coffe" count="0"/>
    <cacheHierarchy uniqueName="[Measures].[sales]" caption="sales" measure="1" displayFolder="" measureGroup="Orders Coffe" count="0"/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0.946661111113" backgroundQuery="1" createdVersion="8" refreshedVersion="8" minRefreshableVersion="3" recordCount="0" supportSubquery="1" supportAdvancedDrill="1" xr:uid="{221AD74C-DFFA-47CB-A904-115D086C49B6}">
  <cacheSource type="external" connectionId="2"/>
  <cacheFields count="2">
    <cacheField name="[Measures].[Orders Coffe]" caption="Orders Coffe" numFmtId="0" hierarchy="9" level="32767"/>
    <cacheField name="[Orders Coffe].[coffee_name].[coffee_name]" caption="coffee_name" numFmtId="0" hierarchy="4" level="1">
      <sharedItems count="8">
        <s v="Americano"/>
        <s v="Americano With Milk"/>
        <s v="Cappuccino"/>
        <s v="Cocoa"/>
        <s v="Cortado"/>
        <s v="Espresso"/>
        <s v="Hot Chocolate"/>
        <s v="Latte"/>
      </sharedItems>
    </cacheField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0" memberValueDatatype="130" unbalanced="0"/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2" memberValueDatatype="130" unbalanced="0">
      <fieldsUsage count="2">
        <fieldUsage x="-1"/>
        <fieldUsage x="1"/>
      </fieldsUsage>
    </cacheHierarchy>
    <cacheHierarchy uniqueName="[Orders Coffe].[Day Name]" caption="Day Name" attribute="1" defaultMemberUniqueName="[Orders Coffe].[Day Name].[All]" allUniqueName="[Orders Coffe].[Day Name].[All]" dimensionUniqueName="[Orders Coffe]" displayFolder="" count="0" memberValueDatatype="130" unbalanced="0"/>
    <cacheHierarchy uniqueName="[Orders Coffe].[Shift]" caption="Shift" attribute="1" defaultMemberUniqueName="[Orders Coffe].[Shift].[All]" allUniqueName="[Orders Coffe].[Shift].[All]" dimensionUniqueName="[Orders Coffe]" displayFolder="" count="0" memberValueDatatype="130" unbalanced="0"/>
    <cacheHierarchy uniqueName="[Orders Coffe].[date (Month)]" caption="date (Month)" attribute="1" defaultMemberUniqueName="[Orders Coffe].[date (Month)].[All]" allUniqueName="[Orders Coffe].[date (Month)].[All]" dimensionUniqueName="[Orders Coffe]" displayFolder="" count="0" memberValueDatatype="130" unbalanced="0"/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 oneField="1">
      <fieldsUsage count="1">
        <fieldUsage x="0"/>
      </fieldsUsage>
    </cacheHierarchy>
    <cacheHierarchy uniqueName="[Measures].[items]" caption="items" measure="1" displayFolder="" measureGroup="Orders Coffe" count="0"/>
    <cacheHierarchy uniqueName="[Measures].[sales]" caption="sales" measure="1" displayFolder="" measureGroup="Orders Coffe" count="0"/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0.949402777776" backgroundQuery="1" createdVersion="8" refreshedVersion="8" minRefreshableVersion="3" recordCount="0" supportSubquery="1" supportAdvancedDrill="1" xr:uid="{DBBBA998-A801-4581-B2E8-8E46D3F3A45A}">
  <cacheSource type="external" connectionId="2"/>
  <cacheFields count="2">
    <cacheField name="[Measures].[Orders Coffe]" caption="Orders Coffe" numFmtId="0" hierarchy="9" level="32767"/>
    <cacheField name="[Orders Coffe].[cash_type].[cash_type]" caption="cash_type" numFmtId="0" hierarchy="2" level="1">
      <sharedItems count="2">
        <s v="Card"/>
        <s v="Cash"/>
      </sharedItems>
    </cacheField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2" memberValueDatatype="130" unbalanced="0">
      <fieldsUsage count="2">
        <fieldUsage x="-1"/>
        <fieldUsage x="1"/>
      </fieldsUsage>
    </cacheHierarchy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0" memberValueDatatype="130" unbalanced="0"/>
    <cacheHierarchy uniqueName="[Orders Coffe].[Day Name]" caption="Day Name" attribute="1" defaultMemberUniqueName="[Orders Coffe].[Day Name].[All]" allUniqueName="[Orders Coffe].[Day Name].[All]" dimensionUniqueName="[Orders Coffe]" displayFolder="" count="0" memberValueDatatype="130" unbalanced="0"/>
    <cacheHierarchy uniqueName="[Orders Coffe].[Shift]" caption="Shift" attribute="1" defaultMemberUniqueName="[Orders Coffe].[Shift].[All]" allUniqueName="[Orders Coffe].[Shift].[All]" dimensionUniqueName="[Orders Coffe]" displayFolder="" count="0" memberValueDatatype="130" unbalanced="0"/>
    <cacheHierarchy uniqueName="[Orders Coffe].[date (Month)]" caption="date (Month)" attribute="1" defaultMemberUniqueName="[Orders Coffe].[date (Month)].[All]" allUniqueName="[Orders Coffe].[date (Month)].[All]" dimensionUniqueName="[Orders Coffe]" displayFolder="" count="0" memberValueDatatype="130" unbalanced="0"/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 oneField="1">
      <fieldsUsage count="1">
        <fieldUsage x="0"/>
      </fieldsUsage>
    </cacheHierarchy>
    <cacheHierarchy uniqueName="[Measures].[items]" caption="items" measure="1" displayFolder="" measureGroup="Orders Coffe" count="0"/>
    <cacheHierarchy uniqueName="[Measures].[sales]" caption="sales" measure="1" displayFolder="" measureGroup="Orders Coffe" count="0"/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0.946659953705" backgroundQuery="1" createdVersion="8" refreshedVersion="8" minRefreshableVersion="3" recordCount="0" supportSubquery="1" supportAdvancedDrill="1" xr:uid="{7BD6670F-329E-42EA-8B6D-9C5520B9EEF3}">
  <cacheSource type="external" connectionId="2"/>
  <cacheFields count="1">
    <cacheField name="[Measures].[items]" caption="items" numFmtId="0" hierarchy="10" level="32767"/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0" memberValueDatatype="130" unbalanced="0"/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0" memberValueDatatype="130" unbalanced="0"/>
    <cacheHierarchy uniqueName="[Orders Coffe].[Day Name]" caption="Day Name" attribute="1" defaultMemberUniqueName="[Orders Coffe].[Day Name].[All]" allUniqueName="[Orders Coffe].[Day Name].[All]" dimensionUniqueName="[Orders Coffe]" displayFolder="" count="0" memberValueDatatype="130" unbalanced="0"/>
    <cacheHierarchy uniqueName="[Orders Coffe].[Shift]" caption="Shift" attribute="1" defaultMemberUniqueName="[Orders Coffe].[Shift].[All]" allUniqueName="[Orders Coffe].[Shift].[All]" dimensionUniqueName="[Orders Coffe]" displayFolder="" count="0" memberValueDatatype="130" unbalanced="0"/>
    <cacheHierarchy uniqueName="[Orders Coffe].[date (Month)]" caption="date (Month)" attribute="1" defaultMemberUniqueName="[Orders Coffe].[date (Month)].[All]" allUniqueName="[Orders Coffe].[date (Month)].[All]" dimensionUniqueName="[Orders Coffe]" displayFolder="" count="0" memberValueDatatype="130" unbalanced="0"/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/>
    <cacheHierarchy uniqueName="[Measures].[items]" caption="items" measure="1" displayFolder="" measureGroup="Orders Coffe" count="0" oneField="1">
      <fieldsUsage count="1">
        <fieldUsage x="0"/>
      </fieldsUsage>
    </cacheHierarchy>
    <cacheHierarchy uniqueName="[Measures].[sales]" caption="sales" measure="1" displayFolder="" measureGroup="Orders Coffe" count="0"/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0.946659027781" backgroundQuery="1" createdVersion="8" refreshedVersion="8" minRefreshableVersion="3" recordCount="0" supportSubquery="1" supportAdvancedDrill="1" xr:uid="{B84A923C-E408-4D75-B239-406C27E11A69}">
  <cacheSource type="external" connectionId="2"/>
  <cacheFields count="1">
    <cacheField name="[Measures].[sales]" caption="sales" numFmtId="0" hierarchy="11" level="32767"/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0" memberValueDatatype="130" unbalanced="0"/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0" memberValueDatatype="130" unbalanced="0"/>
    <cacheHierarchy uniqueName="[Orders Coffe].[Day Name]" caption="Day Name" attribute="1" defaultMemberUniqueName="[Orders Coffe].[Day Name].[All]" allUniqueName="[Orders Coffe].[Day Name].[All]" dimensionUniqueName="[Orders Coffe]" displayFolder="" count="0" memberValueDatatype="130" unbalanced="0"/>
    <cacheHierarchy uniqueName="[Orders Coffe].[Shift]" caption="Shift" attribute="1" defaultMemberUniqueName="[Orders Coffe].[Shift].[All]" allUniqueName="[Orders Coffe].[Shift].[All]" dimensionUniqueName="[Orders Coffe]" displayFolder="" count="0" memberValueDatatype="130" unbalanced="0"/>
    <cacheHierarchy uniqueName="[Orders Coffe].[date (Month)]" caption="date (Month)" attribute="1" defaultMemberUniqueName="[Orders Coffe].[date (Month)].[All]" allUniqueName="[Orders Coffe].[date (Month)].[All]" dimensionUniqueName="[Orders Coffe]" displayFolder="" count="0" memberValueDatatype="130" unbalanced="0"/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/>
    <cacheHierarchy uniqueName="[Measures].[items]" caption="items" measure="1" displayFolder="" measureGroup="Orders Coffe" count="0"/>
    <cacheHierarchy uniqueName="[Measures].[sales]" caption="sales" measure="1" displayFolder="" measureGroup="Orders Coffe" count="0" oneField="1">
      <fieldsUsage count="1">
        <fieldUsage x="0"/>
      </fieldsUsage>
    </cacheHierarchy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0.946655902779" backgroundQuery="1" createdVersion="8" refreshedVersion="8" minRefreshableVersion="3" recordCount="0" supportSubquery="1" supportAdvancedDrill="1" xr:uid="{C8C6D361-05F8-4CA9-BFC5-039FCC2BA351}">
  <cacheSource type="external" connectionId="2"/>
  <cacheFields count="2">
    <cacheField name="[Measures].[Orders Coffe]" caption="Orders Coffe" numFmtId="0" hierarchy="9" level="32767"/>
    <cacheField name="[Orders Coffe].[Shift].[Shift]" caption="Shift" numFmtId="0" hierarchy="6" level="1">
      <sharedItems count="3">
        <s v="Afternoon"/>
        <s v="Evening"/>
        <s v="Morning"/>
      </sharedItems>
    </cacheField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0" memberValueDatatype="130" unbalanced="0"/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0" memberValueDatatype="130" unbalanced="0"/>
    <cacheHierarchy uniqueName="[Orders Coffe].[Day Name]" caption="Day Name" attribute="1" defaultMemberUniqueName="[Orders Coffe].[Day Name].[All]" allUniqueName="[Orders Coffe].[Day Name].[All]" dimensionUniqueName="[Orders Coffe]" displayFolder="" count="0" memberValueDatatype="130" unbalanced="0"/>
    <cacheHierarchy uniqueName="[Orders Coffe].[Shift]" caption="Shift" attribute="1" defaultMemberUniqueName="[Orders Coffe].[Shift].[All]" allUniqueName="[Orders Coffe].[Shift].[All]" dimensionUniqueName="[Orders Coffe]" displayFolder="" count="2" memberValueDatatype="130" unbalanced="0">
      <fieldsUsage count="2">
        <fieldUsage x="-1"/>
        <fieldUsage x="1"/>
      </fieldsUsage>
    </cacheHierarchy>
    <cacheHierarchy uniqueName="[Orders Coffe].[date (Month)]" caption="date (Month)" attribute="1" defaultMemberUniqueName="[Orders Coffe].[date (Month)].[All]" allUniqueName="[Orders Coffe].[date (Month)].[All]" dimensionUniqueName="[Orders Coffe]" displayFolder="" count="0" memberValueDatatype="130" unbalanced="0"/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 oneField="1">
      <fieldsUsage count="1">
        <fieldUsage x="0"/>
      </fieldsUsage>
    </cacheHierarchy>
    <cacheHierarchy uniqueName="[Measures].[items]" caption="items" measure="1" displayFolder="" measureGroup="Orders Coffe" count="0"/>
    <cacheHierarchy uniqueName="[Measures].[sales]" caption="sales" measure="1" displayFolder="" measureGroup="Orders Coffe" count="0"/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0.94665810185" backgroundQuery="1" createdVersion="8" refreshedVersion="8" minRefreshableVersion="3" recordCount="0" supportSubquery="1" supportAdvancedDrill="1" xr:uid="{40582045-2FF8-4789-B261-3AB68FC37E47}">
  <cacheSource type="external" connectionId="2"/>
  <cacheFields count="1">
    <cacheField name="[Measures].[Orders Coffe]" caption="Orders Coffe" numFmtId="0" hierarchy="9" level="32767"/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0" memberValueDatatype="130" unbalanced="0"/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0" memberValueDatatype="130" unbalanced="0"/>
    <cacheHierarchy uniqueName="[Orders Coffe].[Day Name]" caption="Day Name" attribute="1" defaultMemberUniqueName="[Orders Coffe].[Day Name].[All]" allUniqueName="[Orders Coffe].[Day Name].[All]" dimensionUniqueName="[Orders Coffe]" displayFolder="" count="0" memberValueDatatype="130" unbalanced="0"/>
    <cacheHierarchy uniqueName="[Orders Coffe].[Shift]" caption="Shift" attribute="1" defaultMemberUniqueName="[Orders Coffe].[Shift].[All]" allUniqueName="[Orders Coffe].[Shift].[All]" dimensionUniqueName="[Orders Coffe]" displayFolder="" count="0" memberValueDatatype="130" unbalanced="0"/>
    <cacheHierarchy uniqueName="[Orders Coffe].[date (Month)]" caption="date (Month)" attribute="1" defaultMemberUniqueName="[Orders Coffe].[date (Month)].[All]" allUniqueName="[Orders Coffe].[date (Month)].[All]" dimensionUniqueName="[Orders Coffe]" displayFolder="" count="0" memberValueDatatype="130" unbalanced="0"/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 oneField="1">
      <fieldsUsage count="1">
        <fieldUsage x="0"/>
      </fieldsUsage>
    </cacheHierarchy>
    <cacheHierarchy uniqueName="[Measures].[items]" caption="items" measure="1" displayFolder="" measureGroup="Orders Coffe" count="0"/>
    <cacheHierarchy uniqueName="[Measures].[sales]" caption="sales" measure="1" displayFolder="" measureGroup="Orders Coffe" count="0"/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0.94666238426" backgroundQuery="1" createdVersion="8" refreshedVersion="8" minRefreshableVersion="3" recordCount="0" supportSubquery="1" supportAdvancedDrill="1" xr:uid="{91A724BB-C33E-4C59-817A-94BA8B00EE0B}">
  <cacheSource type="external" connectionId="2"/>
  <cacheFields count="2">
    <cacheField name="[Measures].[Orders Coffe]" caption="Orders Coffe" numFmtId="0" hierarchy="9" level="32767"/>
    <cacheField name="[Orders Coffe].[Day Name].[Day Name]" caption="Day Name" numFmtId="0" hierarchy="5" level="1">
      <sharedItems count="7">
        <s v="Friday"/>
        <s v="Monday"/>
        <s v="Saturday"/>
        <s v="Sunday"/>
        <s v="Thursday"/>
        <s v="Tuesday"/>
        <s v="Wednesday"/>
      </sharedItems>
    </cacheField>
  </cacheFields>
  <cacheHierarchies count="16">
    <cacheHierarchy uniqueName="[Orders Coffe].[date]" caption="date" attribute="1" time="1" defaultMemberUniqueName="[Orders Coffe].[date].[All]" allUniqueName="[Orders Coffe].[date].[All]" dimensionUniqueName="[Orders Coffe]" displayFolder="" count="0" memberValueDatatype="7" unbalanced="0"/>
    <cacheHierarchy uniqueName="[Orders Coffe].[datetime]" caption="datetime" attribute="1" time="1" defaultMemberUniqueName="[Orders Coffe].[datetime].[All]" allUniqueName="[Orders Coffe].[datetime].[All]" dimensionUniqueName="[Orders Coffe]" displayFolder="" count="0" memberValueDatatype="7" unbalanced="0"/>
    <cacheHierarchy uniqueName="[Orders Coffe].[cash_type]" caption="cash_type" attribute="1" defaultMemberUniqueName="[Orders Coffe].[cash_type].[All]" allUniqueName="[Orders Coffe].[cash_type].[All]" dimensionUniqueName="[Orders Coffe]" displayFolder="" count="0" memberValueDatatype="130" unbalanced="0"/>
    <cacheHierarchy uniqueName="[Orders Coffe].[money]" caption="money" attribute="1" defaultMemberUniqueName="[Orders Coffe].[money].[All]" allUniqueName="[Orders Coffe].[money].[All]" dimensionUniqueName="[Orders Coffe]" displayFolder="" count="0" memberValueDatatype="5" unbalanced="0"/>
    <cacheHierarchy uniqueName="[Orders Coffe].[coffee_name]" caption="coffee_name" attribute="1" defaultMemberUniqueName="[Orders Coffe].[coffee_name].[All]" allUniqueName="[Orders Coffe].[coffee_name].[All]" dimensionUniqueName="[Orders Coffe]" displayFolder="" count="0" memberValueDatatype="130" unbalanced="0"/>
    <cacheHierarchy uniqueName="[Orders Coffe].[Day Name]" caption="Day Name" attribute="1" defaultMemberUniqueName="[Orders Coffe].[Day Name].[All]" allUniqueName="[Orders Coffe].[Day Name].[All]" dimensionUniqueName="[Orders Coffe]" displayFolder="" count="2" memberValueDatatype="130" unbalanced="0">
      <fieldsUsage count="2">
        <fieldUsage x="-1"/>
        <fieldUsage x="1"/>
      </fieldsUsage>
    </cacheHierarchy>
    <cacheHierarchy uniqueName="[Orders Coffe].[Shift]" caption="Shift" attribute="1" defaultMemberUniqueName="[Orders Coffe].[Shift].[All]" allUniqueName="[Orders Coffe].[Shift].[All]" dimensionUniqueName="[Orders Coffe]" displayFolder="" count="0" memberValueDatatype="130" unbalanced="0"/>
    <cacheHierarchy uniqueName="[Orders Coffe].[date (Month)]" caption="date (Month)" attribute="1" defaultMemberUniqueName="[Orders Coffe].[date (Month)].[All]" allUniqueName="[Orders Coffe].[date (Month)].[All]" dimensionUniqueName="[Orders Coffe]" displayFolder="" count="0" memberValueDatatype="130" unbalanced="0"/>
    <cacheHierarchy uniqueName="[Orders Coffe].[date (Month Index)]" caption="date (Month Index)" attribute="1" defaultMemberUniqueName="[Orders Coffe].[date (Month Index)].[All]" allUniqueName="[Orders Coffe].[date (Month Index)].[All]" dimensionUniqueName="[Orders Coffe]" displayFolder="" count="0" memberValueDatatype="20" unbalanced="0" hidden="1"/>
    <cacheHierarchy uniqueName="[Measures].[Orders Coffe]" caption="Orders Coffe" measure="1" displayFolder="" measureGroup="Orders Coffe" count="0" oneField="1">
      <fieldsUsage count="1">
        <fieldUsage x="0"/>
      </fieldsUsage>
    </cacheHierarchy>
    <cacheHierarchy uniqueName="[Measures].[items]" caption="items" measure="1" displayFolder="" measureGroup="Orders Coffe" count="0"/>
    <cacheHierarchy uniqueName="[Measures].[sales]" caption="sales" measure="1" displayFolder="" measureGroup="Orders Coffe" count="0"/>
    <cacheHierarchy uniqueName="[Measures].[__XL_Count Orders Coffe]" caption="__XL_Count Orders Coffe" measure="1" displayFolder="" measureGroup="Orders Coffe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money]" caption="Average of money" measure="1" displayFolder="" measureGroup="Orders Coff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Orders Coffe" uniqueName="[Orders Coffe]" caption="Orders Coffe"/>
  </dimensions>
  <measureGroups count="1">
    <measureGroup name="Orders Coffe" caption="Orders Coff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B5AE2-B81F-4B4B-AE2A-3C2ADE0B74C0}" name="PivotTable11" cacheId="29" applyNumberFormats="0" applyBorderFormats="0" applyFontFormats="0" applyPatternFormats="0" applyAlignmentFormats="0" applyWidthHeightFormats="1" dataCaption="Values" tag="2dd8b0d9-bd0f-4aab-8c5f-154c26e52e41" updatedVersion="8" minRefreshableVersion="3" useAutoFormatting="1" itemPrintTitles="1" createdVersion="8" indent="0" outline="1" outlineData="1" multipleFieldFilters="0">
  <location ref="A14:A1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money" fld="0" subtotal="average" baseField="0" baseItem="0"/>
  </dataFields>
  <formats count="1">
    <format dxfId="15">
      <pivotArea outline="0" collapsedLevelsAreSubtotals="1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money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04327-9234-403D-AEFE-27446BF7B49C}" name="PivotTable5" cacheId="18" applyNumberFormats="0" applyBorderFormats="0" applyFontFormats="0" applyPatternFormats="0" applyAlignmentFormats="0" applyWidthHeightFormats="1" dataCaption="Values" tag="fbc72f25-5c31-4fff-a343-252665f9e17f" updatedVersion="8" minRefreshableVersion="3" useAutoFormatting="1" itemPrintTitles="1" createdVersion="8" indent="0" outline="1" outlineData="1" multipleFieldFilters="0" chartFormat="6">
  <location ref="G2:H9" firstHeaderRow="1" firstDataRow="1" firstDataCol="1"/>
  <pivotFields count="2">
    <pivotField dataField="1" subtotalTop="0" showAll="0" defaultSubtotal="0"/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subtotal="count" baseField="0" baseItem="0"/>
  </dataFields>
  <formats count="1">
    <format dxfId="16">
      <pivotArea outline="0" collapsedLevelsAreSubtotals="1" fieldPosition="0"/>
    </format>
  </format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D4E43-3444-4397-BFCC-2DA31EA59E9A}" name="PivotTable10" cacheId="19" applyNumberFormats="0" applyBorderFormats="0" applyFontFormats="0" applyPatternFormats="0" applyAlignmentFormats="0" applyWidthHeightFormats="1" dataCaption="Values" tag="c071a0de-4b78-4bde-95fc-edff647822a2" updatedVersion="8" minRefreshableVersion="3" useAutoFormatting="1" itemPrintTitles="1" createdVersion="8" indent="0" outline="1" outlineData="1" multipleFieldFilters="0" chartFormat="3">
  <location ref="G17:H24" firstHeaderRow="1" firstDataRow="1" firstDataCol="1"/>
  <pivotFields count="2"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oney" fld="1" baseField="0" baseItem="0"/>
  </dataFields>
  <formats count="1">
    <format dxfId="17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oney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F4325-9609-4586-81AC-AE7C83CB34BB}" name="PivotTable9" cacheId="20" applyNumberFormats="0" applyBorderFormats="0" applyFontFormats="0" applyPatternFormats="0" applyAlignmentFormats="0" applyWidthHeightFormats="1" dataCaption="Values" tag="16a82b98-65ee-45ec-b53d-5883cc8c5869" updatedVersion="8" minRefreshableVersion="3" useAutoFormatting="1" itemPrintTitles="1" createdVersion="8" indent="0" outline="1" outlineData="1" multipleFieldFilters="0" chartFormat="5">
  <location ref="D17:E26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Money" fld="1" baseField="0" baseItem="0"/>
  </dataFields>
  <formats count="1">
    <format dxfId="18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oney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1B10F-7EA1-46D9-AC57-81547EC6B4FE}" name="PivotTable4" cacheId="21" applyNumberFormats="0" applyBorderFormats="0" applyFontFormats="0" applyPatternFormats="0" applyAlignmentFormats="0" applyWidthHeightFormats="1" dataCaption="Values" tag="afa73e26-1bbc-446c-bce9-743effc6d3b1" updatedVersion="8" minRefreshableVersion="3" useAutoFormatting="1" itemPrintTitles="1" createdVersion="8" indent="0" outline="1" outlineData="1" multipleFieldFilters="0" chartFormat="7">
  <location ref="D2:E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0" subtotal="count" baseField="0" baseItem="0"/>
  </dataFields>
  <formats count="1">
    <format dxfId="19">
      <pivotArea outline="0" collapsedLevelsAreSubtotals="1" fieldPosition="0"/>
    </format>
  </format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0F1FF-AAAD-4EC4-973D-3ECCE54DE255}" name="PivotTable8" cacheId="22" applyNumberFormats="0" applyBorderFormats="0" applyFontFormats="0" applyPatternFormats="0" applyAlignmentFormats="0" applyWidthHeightFormats="1" dataCaption="Values" tag="337f459c-5fff-45ae-b1cc-a90aebdfd7ed" updatedVersion="8" minRefreshableVersion="3" useAutoFormatting="1" itemPrintTitles="1" createdVersion="8" indent="0" outline="1" outlineData="1" multipleFieldFilters="0" chartFormat="5">
  <location ref="P2:Q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subtotal="count" showDataAs="percentOfTotal" baseField="0" baseItem="0" numFmtId="164"/>
  </dataFields>
  <formats count="2">
    <format dxfId="21">
      <pivotArea outline="0" collapsedLevelsAreSubtotals="1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4556E-41F9-4C7C-AD4E-613787635CC2}" name="PivotTable3" cacheId="23" applyNumberFormats="0" applyBorderFormats="0" applyFontFormats="0" applyPatternFormats="0" applyAlignmentFormats="0" applyWidthHeightFormats="1" dataCaption="Values" tag="2dd8b0d9-bd0f-4aab-8c5f-154c26e52e41" updatedVersion="8" minRefreshableVersion="3" useAutoFormatting="1" itemPrintTitles="1" createdVersion="8" indent="0" outline="1" outlineData="1" multipleFieldFilters="0">
  <location ref="A10:A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22">
      <pivotArea outline="0" collapsedLevelsAreSubtotals="1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FF1A3-97F0-42D2-91F9-7D4269D20597}" name="PivotTable2" cacheId="24" applyNumberFormats="0" applyBorderFormats="0" applyFontFormats="0" applyPatternFormats="0" applyAlignmentFormats="0" applyWidthHeightFormats="1" dataCaption="Values" tag="9ea8bb5f-cd59-45e3-b430-ee7bdef7ef94" updatedVersion="8" minRefreshableVersion="3" useAutoFormatting="1" itemPrintTitles="1" createdVersion="8" indent="0" outline="1" outlineData="1" multipleFieldFilters="0">
  <location ref="A6:A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23">
      <pivotArea outline="0" collapsedLevelsAreSubtotals="1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55451-5C23-4A82-932A-9628BAB2C4FC}" name="PivotTable7" cacheId="25" applyNumberFormats="0" applyBorderFormats="0" applyFontFormats="0" applyPatternFormats="0" applyAlignmentFormats="0" applyWidthHeightFormats="1" dataCaption="Values" tag="c1075259-f23a-463d-8034-a517740335e8" updatedVersion="8" minRefreshableVersion="3" useAutoFormatting="1" itemPrintTitles="1" createdVersion="8" indent="0" outline="1" outlineData="1" multipleFieldFilters="0" chartFormat="6">
  <location ref="M2:N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formats count="1">
    <format dxfId="24">
      <pivotArea outline="0" collapsedLevelsAreSubtotals="1" fieldPosition="0"/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DECD0-DADB-4494-B7DD-5917096DDC41}" name="PivotTable1" cacheId="26" applyNumberFormats="0" applyBorderFormats="0" applyFontFormats="0" applyPatternFormats="0" applyAlignmentFormats="0" applyWidthHeightFormats="1" dataCaption="Values" tag="3d0f0bbf-b257-4622-91e4-d7ff4d52120f" updatedVersion="8" minRefreshableVersion="3" useAutoFormatting="1" itemPrintTitles="1" createdVersion="8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25">
      <pivotArea outline="0" collapsedLevelsAreSubtotals="1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8F174-913D-406E-B165-4791720745E9}" name="PivotTable6" cacheId="27" applyNumberFormats="0" applyBorderFormats="0" applyFontFormats="0" applyPatternFormats="0" applyAlignmentFormats="0" applyWidthHeightFormats="1" dataCaption="Values" tag="cdd76967-a83a-4443-99e4-2b5997a466d6" updatedVersion="8" minRefreshableVersion="3" useAutoFormatting="1" itemPrintTitles="1" createdVersion="8" indent="0" outline="1" outlineData="1" multipleFieldFilters="0" chartFormat="9">
  <location ref="J2:K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formats count="1">
    <format dxfId="26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 Coff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solidFill>
            <a:srgbClr val="E1DFD6"/>
          </a:solidFill>
        </a:ln>
      </a:spPr>
      <a:bodyPr vertOverflow="clip" horzOverflow="clip" rtlCol="0" anchor="t"/>
      <a:lstStyle>
        <a:defPPr algn="l">
          <a:defRPr sz="1100">
            <a:ln>
              <a:solidFill>
                <a:srgbClr val="FFFFFF"/>
              </a:solidFill>
            </a:ln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6013-39E2-4C2B-A4F1-97E31E225358}">
  <dimension ref="A1:Q26"/>
  <sheetViews>
    <sheetView showGridLines="0" zoomScale="103" workbookViewId="0">
      <selection activeCell="A15" sqref="A15"/>
    </sheetView>
  </sheetViews>
  <sheetFormatPr defaultRowHeight="14.4" x14ac:dyDescent="0.3"/>
  <cols>
    <col min="1" max="1" width="16.6640625" bestFit="1" customWidth="1"/>
    <col min="3" max="3" width="3.33203125" customWidth="1"/>
    <col min="4" max="4" width="22.21875" bestFit="1" customWidth="1"/>
    <col min="5" max="5" width="11.88671875" bestFit="1" customWidth="1"/>
    <col min="6" max="6" width="6.44140625" bestFit="1" customWidth="1"/>
    <col min="7" max="7" width="13.5546875" bestFit="1" customWidth="1"/>
    <col min="8" max="8" width="10.5546875" bestFit="1" customWidth="1"/>
    <col min="9" max="9" width="13.44140625" bestFit="1" customWidth="1"/>
    <col min="10" max="10" width="15.21875" bestFit="1" customWidth="1"/>
    <col min="11" max="11" width="11.88671875" bestFit="1" customWidth="1"/>
    <col min="12" max="12" width="3.21875" bestFit="1" customWidth="1"/>
    <col min="13" max="13" width="15.88671875" bestFit="1" customWidth="1"/>
    <col min="14" max="14" width="11.88671875" bestFit="1" customWidth="1"/>
    <col min="15" max="15" width="3.21875" bestFit="1" customWidth="1"/>
    <col min="16" max="16" width="26.5546875" bestFit="1" customWidth="1"/>
    <col min="17" max="17" width="11.88671875" bestFit="1" customWidth="1"/>
    <col min="18" max="18" width="5.33203125" bestFit="1" customWidth="1"/>
    <col min="19" max="20" width="3.21875" bestFit="1" customWidth="1"/>
    <col min="21" max="21" width="10.77734375" bestFit="1" customWidth="1"/>
  </cols>
  <sheetData>
    <row r="1" spans="1:17" x14ac:dyDescent="0.3">
      <c r="A1" t="s">
        <v>11</v>
      </c>
      <c r="D1" t="s">
        <v>17</v>
      </c>
      <c r="G1" t="s">
        <v>20</v>
      </c>
      <c r="J1" t="s">
        <v>27</v>
      </c>
      <c r="M1" t="s">
        <v>35</v>
      </c>
      <c r="P1" t="s">
        <v>39</v>
      </c>
    </row>
    <row r="2" spans="1:17" x14ac:dyDescent="0.3">
      <c r="A2" t="s">
        <v>12</v>
      </c>
      <c r="D2" s="2" t="s">
        <v>18</v>
      </c>
      <c r="E2" t="s">
        <v>12</v>
      </c>
      <c r="G2" s="2" t="s">
        <v>18</v>
      </c>
      <c r="H2" t="s">
        <v>12</v>
      </c>
      <c r="J2" s="2" t="s">
        <v>18</v>
      </c>
      <c r="K2" t="s">
        <v>12</v>
      </c>
      <c r="M2" s="2" t="s">
        <v>18</v>
      </c>
      <c r="N2" t="s">
        <v>12</v>
      </c>
      <c r="P2" s="2" t="s">
        <v>18</v>
      </c>
      <c r="Q2" t="s">
        <v>12</v>
      </c>
    </row>
    <row r="3" spans="1:17" x14ac:dyDescent="0.3">
      <c r="A3" s="1">
        <v>1313</v>
      </c>
      <c r="D3" s="1" t="s">
        <v>4</v>
      </c>
      <c r="E3" s="1">
        <v>185</v>
      </c>
      <c r="G3" s="1" t="s">
        <v>21</v>
      </c>
      <c r="H3" s="1">
        <v>206</v>
      </c>
      <c r="J3" s="1" t="s">
        <v>28</v>
      </c>
      <c r="K3" s="1">
        <v>181</v>
      </c>
      <c r="M3" s="1" t="s">
        <v>36</v>
      </c>
      <c r="N3" s="1">
        <v>420</v>
      </c>
      <c r="P3" s="1" t="s">
        <v>1</v>
      </c>
      <c r="Q3" s="3">
        <v>0.9322162985529322</v>
      </c>
    </row>
    <row r="4" spans="1:17" x14ac:dyDescent="0.3">
      <c r="D4" s="1" t="s">
        <v>5</v>
      </c>
      <c r="E4" s="1">
        <v>319</v>
      </c>
      <c r="G4" s="1" t="s">
        <v>22</v>
      </c>
      <c r="H4" s="1">
        <v>196</v>
      </c>
      <c r="J4" s="1" t="s">
        <v>29</v>
      </c>
      <c r="K4" s="1">
        <v>177</v>
      </c>
      <c r="M4" s="1" t="s">
        <v>37</v>
      </c>
      <c r="N4" s="1">
        <v>383</v>
      </c>
      <c r="P4" s="1" t="s">
        <v>7</v>
      </c>
      <c r="Q4" s="3">
        <v>6.7783701447067787E-2</v>
      </c>
    </row>
    <row r="5" spans="1:17" x14ac:dyDescent="0.3">
      <c r="A5" t="s">
        <v>13</v>
      </c>
      <c r="D5" s="1" t="s">
        <v>10</v>
      </c>
      <c r="E5" s="1">
        <v>222</v>
      </c>
      <c r="G5" s="1" t="s">
        <v>23</v>
      </c>
      <c r="H5" s="1">
        <v>267</v>
      </c>
      <c r="J5" s="1" t="s">
        <v>30</v>
      </c>
      <c r="K5" s="1">
        <v>189</v>
      </c>
      <c r="M5" s="1" t="s">
        <v>38</v>
      </c>
      <c r="N5" s="1">
        <v>510</v>
      </c>
      <c r="P5" s="1" t="s">
        <v>19</v>
      </c>
      <c r="Q5" s="3">
        <v>1</v>
      </c>
    </row>
    <row r="6" spans="1:17" x14ac:dyDescent="0.3">
      <c r="A6" t="s">
        <v>14</v>
      </c>
      <c r="D6" s="1" t="s">
        <v>6</v>
      </c>
      <c r="E6" s="1">
        <v>44</v>
      </c>
      <c r="G6" s="1" t="s">
        <v>24</v>
      </c>
      <c r="H6" s="1">
        <v>227</v>
      </c>
      <c r="J6" s="1" t="s">
        <v>31</v>
      </c>
      <c r="K6" s="1">
        <v>172</v>
      </c>
      <c r="M6" s="1" t="s">
        <v>19</v>
      </c>
      <c r="N6" s="1">
        <v>1313</v>
      </c>
    </row>
    <row r="7" spans="1:17" x14ac:dyDescent="0.3">
      <c r="A7" s="1">
        <v>42627.58</v>
      </c>
      <c r="D7" s="1" t="s">
        <v>8</v>
      </c>
      <c r="E7" s="1">
        <v>123</v>
      </c>
      <c r="G7" s="1" t="s">
        <v>25</v>
      </c>
      <c r="H7" s="1">
        <v>237</v>
      </c>
      <c r="J7" s="1" t="s">
        <v>32</v>
      </c>
      <c r="K7" s="1">
        <v>200</v>
      </c>
    </row>
    <row r="8" spans="1:17" x14ac:dyDescent="0.3">
      <c r="D8" s="1" t="s">
        <v>9</v>
      </c>
      <c r="E8" s="1">
        <v>59</v>
      </c>
      <c r="G8" s="1" t="s">
        <v>26</v>
      </c>
      <c r="H8" s="1">
        <v>180</v>
      </c>
      <c r="J8" s="1" t="s">
        <v>33</v>
      </c>
      <c r="K8" s="1">
        <v>206</v>
      </c>
    </row>
    <row r="9" spans="1:17" x14ac:dyDescent="0.3">
      <c r="A9" t="s">
        <v>15</v>
      </c>
      <c r="D9" s="1" t="s">
        <v>3</v>
      </c>
      <c r="E9" s="1">
        <v>79</v>
      </c>
      <c r="G9" s="1" t="s">
        <v>19</v>
      </c>
      <c r="H9" s="1">
        <v>1313</v>
      </c>
      <c r="J9" s="1" t="s">
        <v>34</v>
      </c>
      <c r="K9" s="1">
        <v>188</v>
      </c>
    </row>
    <row r="10" spans="1:17" x14ac:dyDescent="0.3">
      <c r="A10" t="s">
        <v>16</v>
      </c>
      <c r="D10" s="1" t="s">
        <v>2</v>
      </c>
      <c r="E10" s="1">
        <v>282</v>
      </c>
      <c r="J10" s="1" t="s">
        <v>19</v>
      </c>
      <c r="K10" s="1">
        <v>1313</v>
      </c>
    </row>
    <row r="11" spans="1:17" x14ac:dyDescent="0.3">
      <c r="A11" s="1">
        <v>8</v>
      </c>
      <c r="D11" s="1" t="s">
        <v>19</v>
      </c>
      <c r="E11" s="1">
        <v>1313</v>
      </c>
    </row>
    <row r="13" spans="1:17" x14ac:dyDescent="0.3">
      <c r="A13" t="s">
        <v>43</v>
      </c>
    </row>
    <row r="14" spans="1:17" x14ac:dyDescent="0.3">
      <c r="A14" t="s">
        <v>44</v>
      </c>
    </row>
    <row r="15" spans="1:17" x14ac:dyDescent="0.3">
      <c r="A15" s="4">
        <v>32.465788271134805</v>
      </c>
      <c r="D15" t="s">
        <v>40</v>
      </c>
      <c r="G15" t="s">
        <v>42</v>
      </c>
    </row>
    <row r="17" spans="4:8" x14ac:dyDescent="0.3">
      <c r="D17" s="2" t="s">
        <v>18</v>
      </c>
      <c r="E17" t="s">
        <v>41</v>
      </c>
      <c r="G17" s="2" t="s">
        <v>18</v>
      </c>
      <c r="H17" t="s">
        <v>0</v>
      </c>
    </row>
    <row r="18" spans="4:8" x14ac:dyDescent="0.3">
      <c r="D18" s="1" t="s">
        <v>4</v>
      </c>
      <c r="E18" s="4">
        <v>5012.8600000000006</v>
      </c>
      <c r="G18" s="1" t="s">
        <v>21</v>
      </c>
      <c r="H18" s="4">
        <v>7050.2000000000007</v>
      </c>
    </row>
    <row r="19" spans="4:8" x14ac:dyDescent="0.3">
      <c r="D19" s="1" t="s">
        <v>5</v>
      </c>
      <c r="E19" s="4">
        <v>10025.859999999973</v>
      </c>
      <c r="G19" s="1" t="s">
        <v>22</v>
      </c>
      <c r="H19" s="4">
        <v>6720.560000000004</v>
      </c>
    </row>
    <row r="20" spans="4:8" x14ac:dyDescent="0.3">
      <c r="D20" s="1" t="s">
        <v>10</v>
      </c>
      <c r="E20" s="4">
        <v>8186.46</v>
      </c>
      <c r="G20" s="1" t="s">
        <v>23</v>
      </c>
      <c r="H20" s="4">
        <v>9063.4199999999983</v>
      </c>
    </row>
    <row r="21" spans="4:8" x14ac:dyDescent="0.3">
      <c r="D21" s="1" t="s">
        <v>6</v>
      </c>
      <c r="E21" s="4">
        <v>1591.32</v>
      </c>
      <c r="G21" s="1" t="s">
        <v>24</v>
      </c>
      <c r="H21" s="4">
        <v>7758.7599999999993</v>
      </c>
    </row>
    <row r="22" spans="4:8" x14ac:dyDescent="0.3">
      <c r="D22" s="1" t="s">
        <v>8</v>
      </c>
      <c r="E22" s="4">
        <v>3297.5600000000004</v>
      </c>
      <c r="G22" s="1" t="s">
        <v>25</v>
      </c>
      <c r="H22" s="4">
        <v>6915.94</v>
      </c>
    </row>
    <row r="23" spans="4:8" x14ac:dyDescent="0.3">
      <c r="D23" s="1" t="s">
        <v>9</v>
      </c>
      <c r="E23" s="4">
        <v>1281.8199999999986</v>
      </c>
      <c r="G23" s="1" t="s">
        <v>26</v>
      </c>
      <c r="H23" s="4">
        <v>5118.6999999999989</v>
      </c>
    </row>
    <row r="24" spans="4:8" x14ac:dyDescent="0.3">
      <c r="D24" s="1" t="s">
        <v>3</v>
      </c>
      <c r="E24" s="4">
        <v>2942.58</v>
      </c>
      <c r="G24" s="1" t="s">
        <v>19</v>
      </c>
      <c r="H24" s="4">
        <v>42627.58</v>
      </c>
    </row>
    <row r="25" spans="4:8" x14ac:dyDescent="0.3">
      <c r="D25" s="1" t="s">
        <v>2</v>
      </c>
      <c r="E25" s="4">
        <v>10289.120000000001</v>
      </c>
    </row>
    <row r="26" spans="4:8" x14ac:dyDescent="0.3">
      <c r="D26" s="1" t="s">
        <v>19</v>
      </c>
      <c r="E26" s="4">
        <v>42627.58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6578-73F2-45D9-8110-EE4A866C2B34}">
  <sheetPr>
    <tabColor theme="4" tint="-0.499984740745262"/>
  </sheetPr>
  <dimension ref="B2:V60"/>
  <sheetViews>
    <sheetView showGridLines="0" tabSelected="1" zoomScale="81" workbookViewId="0">
      <selection activeCell="W12" sqref="W12"/>
    </sheetView>
  </sheetViews>
  <sheetFormatPr defaultRowHeight="14.4" x14ac:dyDescent="0.3"/>
  <cols>
    <col min="1" max="1" width="3.6640625" customWidth="1"/>
    <col min="2" max="2" width="3.77734375" customWidth="1"/>
    <col min="3" max="3" width="13" bestFit="1" customWidth="1"/>
    <col min="8" max="8" width="11.109375" bestFit="1" customWidth="1"/>
    <col min="13" max="13" width="15.5546875" bestFit="1" customWidth="1"/>
    <col min="18" max="18" width="16.109375" bestFit="1" customWidth="1"/>
    <col min="20" max="21" width="8.88671875" customWidth="1"/>
    <col min="22" max="22" width="3.77734375" customWidth="1"/>
  </cols>
  <sheetData>
    <row r="2" spans="2:22" x14ac:dyDescent="0.3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2:22" x14ac:dyDescent="0.3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2:22" x14ac:dyDescent="0.3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2:22" x14ac:dyDescent="0.3">
      <c r="B7" s="5"/>
      <c r="C7" s="7"/>
      <c r="D7" s="7"/>
      <c r="E7" s="5"/>
      <c r="F7" s="5"/>
      <c r="G7" s="5"/>
      <c r="H7" s="7"/>
      <c r="I7" s="5"/>
      <c r="J7" s="5"/>
      <c r="K7" s="5"/>
      <c r="L7" s="5"/>
      <c r="M7" s="7"/>
      <c r="N7" s="8"/>
      <c r="O7" s="5"/>
      <c r="P7" s="5"/>
      <c r="Q7" s="5"/>
      <c r="R7" s="7"/>
      <c r="S7" s="7"/>
      <c r="T7" s="5"/>
      <c r="U7" s="5"/>
      <c r="V7" s="5"/>
    </row>
    <row r="8" spans="2:22" ht="14.4" customHeight="1" x14ac:dyDescent="0.65">
      <c r="B8" s="5"/>
      <c r="C8" s="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2:22" x14ac:dyDescent="0.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2:22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2:22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2:22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2:22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2:22" x14ac:dyDescent="0.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2:22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2:22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2:22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2:22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2:22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22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2:22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2:22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2:22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2:22" x14ac:dyDescent="0.3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22" x14ac:dyDescent="0.3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2:22" x14ac:dyDescent="0.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2:22" x14ac:dyDescent="0.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2:22" x14ac:dyDescent="0.3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22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2:22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2:22" x14ac:dyDescent="0.3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2:22" x14ac:dyDescent="0.3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2:22" x14ac:dyDescent="0.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2:22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2:22" x14ac:dyDescent="0.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2:22" x14ac:dyDescent="0.3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2:22" x14ac:dyDescent="0.3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2:22" x14ac:dyDescent="0.3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2:22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2:22" x14ac:dyDescent="0.3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2:22" x14ac:dyDescent="0.3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2:22" x14ac:dyDescent="0.3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2:22" x14ac:dyDescent="0.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2:22" x14ac:dyDescent="0.3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22" x14ac:dyDescent="0.3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2:22" x14ac:dyDescent="0.3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2:22" x14ac:dyDescent="0.3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2:22" x14ac:dyDescent="0.3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2:22" x14ac:dyDescent="0.3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2:22" x14ac:dyDescent="0.3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2:22" x14ac:dyDescent="0.3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2:22" x14ac:dyDescent="0.3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2:22" x14ac:dyDescent="0.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2:22" x14ac:dyDescent="0.3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2:22" x14ac:dyDescent="0.3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2:22" x14ac:dyDescent="0.3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2:22" x14ac:dyDescent="0.3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2:22" x14ac:dyDescent="0.3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2:22" x14ac:dyDescent="0.3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2:22" x14ac:dyDescent="0.3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54660DF2-234B-42B0-ACB8-0CE35C109C8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B1B2CAE-5CC3-4BF0-91F3-864AA615A975}">
  <ds:schemaRefs/>
</ds:datastoreItem>
</file>

<file path=customXml/itemProps3.xml><?xml version="1.0" encoding="utf-8"?>
<ds:datastoreItem xmlns:ds="http://schemas.openxmlformats.org/officeDocument/2006/customXml" ds:itemID="{32210ABC-E0D5-4A41-A77B-D283EBC02270}">
  <ds:schemaRefs/>
</ds:datastoreItem>
</file>

<file path=customXml/itemProps4.xml><?xml version="1.0" encoding="utf-8"?>
<ds:datastoreItem xmlns:ds="http://schemas.openxmlformats.org/officeDocument/2006/customXml" ds:itemID="{D108BBD8-F8CE-4EE6-B0F8-161DC5F8B306}">
  <ds:schemaRefs/>
</ds:datastoreItem>
</file>

<file path=customXml/itemProps5.xml><?xml version="1.0" encoding="utf-8"?>
<ds:datastoreItem xmlns:ds="http://schemas.openxmlformats.org/officeDocument/2006/customXml" ds:itemID="{EB23D3AE-D62C-4A11-899A-10E2A87E6D43}">
  <ds:schemaRefs/>
</ds:datastoreItem>
</file>

<file path=customXml/itemProps6.xml><?xml version="1.0" encoding="utf-8"?>
<ds:datastoreItem xmlns:ds="http://schemas.openxmlformats.org/officeDocument/2006/customXml" ds:itemID="{807B7272-DA46-4732-A6C7-112AD0894C7F}">
  <ds:schemaRefs/>
</ds:datastoreItem>
</file>

<file path=customXml/itemProps7.xml><?xml version="1.0" encoding="utf-8"?>
<ds:datastoreItem xmlns:ds="http://schemas.openxmlformats.org/officeDocument/2006/customXml" ds:itemID="{F13C8DAE-D172-46E3-921A-3DD8A3782D20}">
  <ds:schemaRefs/>
</ds:datastoreItem>
</file>

<file path=customXml/itemProps8.xml><?xml version="1.0" encoding="utf-8"?>
<ds:datastoreItem xmlns:ds="http://schemas.openxmlformats.org/officeDocument/2006/customXml" ds:itemID="{007B9337-FC71-4C83-845F-C5A5BBB561CE}">
  <ds:schemaRefs/>
</ds:datastoreItem>
</file>

<file path=customXml/itemProps9.xml><?xml version="1.0" encoding="utf-8"?>
<ds:datastoreItem xmlns:ds="http://schemas.openxmlformats.org/officeDocument/2006/customXml" ds:itemID="{3DE6DD41-CD00-4261-B9CD-5F47085A7D5E}">
  <ds:schemaRefs/>
</ds:datastoreItem>
</file>

<file path=customXml/itemProps10.xml><?xml version="1.0" encoding="utf-8"?>
<ds:datastoreItem xmlns:ds="http://schemas.openxmlformats.org/officeDocument/2006/customXml" ds:itemID="{FECEDD59-7E15-43B6-899D-0ED243B7E356}">
  <ds:schemaRefs/>
</ds:datastoreItem>
</file>

<file path=customXml/itemProps11.xml><?xml version="1.0" encoding="utf-8"?>
<ds:datastoreItem xmlns:ds="http://schemas.openxmlformats.org/officeDocument/2006/customXml" ds:itemID="{8484CF90-7946-4755-AE64-D957CA4B4AFE}">
  <ds:schemaRefs/>
</ds:datastoreItem>
</file>

<file path=customXml/itemProps12.xml><?xml version="1.0" encoding="utf-8"?>
<ds:datastoreItem xmlns:ds="http://schemas.openxmlformats.org/officeDocument/2006/customXml" ds:itemID="{3B90F046-9A62-46CC-9591-D21D555FA15D}">
  <ds:schemaRefs/>
</ds:datastoreItem>
</file>

<file path=customXml/itemProps13.xml><?xml version="1.0" encoding="utf-8"?>
<ds:datastoreItem xmlns:ds="http://schemas.openxmlformats.org/officeDocument/2006/customXml" ds:itemID="{A0EE949A-199C-4310-BCE3-8E7A005B61DC}">
  <ds:schemaRefs/>
</ds:datastoreItem>
</file>

<file path=customXml/itemProps14.xml><?xml version="1.0" encoding="utf-8"?>
<ds:datastoreItem xmlns:ds="http://schemas.openxmlformats.org/officeDocument/2006/customXml" ds:itemID="{C84B27A8-C2F9-4AE2-B2E1-2A9F1C28D198}">
  <ds:schemaRefs/>
</ds:datastoreItem>
</file>

<file path=customXml/itemProps15.xml><?xml version="1.0" encoding="utf-8"?>
<ds:datastoreItem xmlns:ds="http://schemas.openxmlformats.org/officeDocument/2006/customXml" ds:itemID="{4DDD65C1-A7AC-4D29-B3F0-6B3393FB494A}">
  <ds:schemaRefs/>
</ds:datastoreItem>
</file>

<file path=customXml/itemProps16.xml><?xml version="1.0" encoding="utf-8"?>
<ds:datastoreItem xmlns:ds="http://schemas.openxmlformats.org/officeDocument/2006/customXml" ds:itemID="{6BD20A99-C782-4DF7-B376-9D1518185F9D}">
  <ds:schemaRefs/>
</ds:datastoreItem>
</file>

<file path=customXml/itemProps17.xml><?xml version="1.0" encoding="utf-8"?>
<ds:datastoreItem xmlns:ds="http://schemas.openxmlformats.org/officeDocument/2006/customXml" ds:itemID="{4DC70D00-FF79-4261-927E-FA4406D56634}">
  <ds:schemaRefs/>
</ds:datastoreItem>
</file>

<file path=customXml/itemProps18.xml><?xml version="1.0" encoding="utf-8"?>
<ds:datastoreItem xmlns:ds="http://schemas.openxmlformats.org/officeDocument/2006/customXml" ds:itemID="{AA03B325-C026-4CC4-8D9C-095BE9D1D6AF}">
  <ds:schemaRefs/>
</ds:datastoreItem>
</file>

<file path=customXml/itemProps19.xml><?xml version="1.0" encoding="utf-8"?>
<ds:datastoreItem xmlns:ds="http://schemas.openxmlformats.org/officeDocument/2006/customXml" ds:itemID="{54FE52AF-34CD-4E68-B4A7-8EC970171F9C}">
  <ds:schemaRefs/>
</ds:datastoreItem>
</file>

<file path=customXml/itemProps20.xml><?xml version="1.0" encoding="utf-8"?>
<ds:datastoreItem xmlns:ds="http://schemas.openxmlformats.org/officeDocument/2006/customXml" ds:itemID="{63B7A2E6-46CB-44FA-849A-12E6DC4A3511}">
  <ds:schemaRefs/>
</ds:datastoreItem>
</file>

<file path=customXml/itemProps21.xml><?xml version="1.0" encoding="utf-8"?>
<ds:datastoreItem xmlns:ds="http://schemas.openxmlformats.org/officeDocument/2006/customXml" ds:itemID="{2E0D38E3-2CBA-44E3-9418-4883017788E4}">
  <ds:schemaRefs/>
</ds:datastoreItem>
</file>

<file path=customXml/itemProps22.xml><?xml version="1.0" encoding="utf-8"?>
<ds:datastoreItem xmlns:ds="http://schemas.openxmlformats.org/officeDocument/2006/customXml" ds:itemID="{CFBFB550-4268-4F8E-B34B-4A2828673A52}">
  <ds:schemaRefs/>
</ds:datastoreItem>
</file>

<file path=customXml/itemProps23.xml><?xml version="1.0" encoding="utf-8"?>
<ds:datastoreItem xmlns:ds="http://schemas.openxmlformats.org/officeDocument/2006/customXml" ds:itemID="{98B9911F-6C88-4AD0-AF81-A2719CD970E8}">
  <ds:schemaRefs/>
</ds:datastoreItem>
</file>

<file path=customXml/itemProps24.xml><?xml version="1.0" encoding="utf-8"?>
<ds:datastoreItem xmlns:ds="http://schemas.openxmlformats.org/officeDocument/2006/customXml" ds:itemID="{EE1C835B-B3C5-4233-A6A5-95429B9E67F4}">
  <ds:schemaRefs/>
</ds:datastoreItem>
</file>

<file path=customXml/itemProps25.xml><?xml version="1.0" encoding="utf-8"?>
<ds:datastoreItem xmlns:ds="http://schemas.openxmlformats.org/officeDocument/2006/customXml" ds:itemID="{59601B16-1166-49DA-B425-BD7365121430}">
  <ds:schemaRefs/>
</ds:datastoreItem>
</file>

<file path=customXml/itemProps26.xml><?xml version="1.0" encoding="utf-8"?>
<ds:datastoreItem xmlns:ds="http://schemas.openxmlformats.org/officeDocument/2006/customXml" ds:itemID="{2BE42AE1-9760-4E12-B751-FCC323F42258}">
  <ds:schemaRefs/>
</ds:datastoreItem>
</file>

<file path=customXml/itemProps27.xml><?xml version="1.0" encoding="utf-8"?>
<ds:datastoreItem xmlns:ds="http://schemas.openxmlformats.org/officeDocument/2006/customXml" ds:itemID="{704F087E-7EF0-40CB-9978-D205B98716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Ezz</dc:creator>
  <cp:lastModifiedBy>Salma Ezz</cp:lastModifiedBy>
  <dcterms:created xsi:type="dcterms:W3CDTF">2026-08-17T04:46:53Z</dcterms:created>
  <dcterms:modified xsi:type="dcterms:W3CDTF">2026-08-17T10:00:34Z</dcterms:modified>
</cp:coreProperties>
</file>